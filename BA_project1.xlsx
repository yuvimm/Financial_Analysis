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im\Documents\"/>
    </mc:Choice>
  </mc:AlternateContent>
  <xr:revisionPtr revIDLastSave="0" documentId="13_ncr:1_{1B161F75-7067-4E41-B273-64FE00277AC3}" xr6:coauthVersionLast="47" xr6:coauthVersionMax="47" xr10:uidLastSave="{00000000-0000-0000-0000-000000000000}"/>
  <bookViews>
    <workbookView xWindow="-108" yWindow="-108" windowWidth="23256" windowHeight="12456" activeTab="2" xr2:uid="{9B94D9DA-DB50-4453-A06A-3BD6DDFA8E3D}"/>
  </bookViews>
  <sheets>
    <sheet name="Raw_Data" sheetId="1" r:id="rId1"/>
    <sheet name="Cleaned_Data" sheetId="2" r:id="rId2"/>
    <sheet name="Calculations" sheetId="3" r:id="rId3"/>
    <sheet name="Charts" sheetId="4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B7" i="3"/>
  <c r="M3" i="3"/>
  <c r="M4" i="3"/>
  <c r="M5" i="3"/>
  <c r="M6" i="3"/>
  <c r="M2" i="3"/>
  <c r="L3" i="3"/>
  <c r="L4" i="3"/>
  <c r="L5" i="3"/>
  <c r="L6" i="3"/>
  <c r="L2" i="3"/>
  <c r="K3" i="3"/>
  <c r="K4" i="3"/>
  <c r="K5" i="3"/>
  <c r="K6" i="3"/>
  <c r="K2" i="3"/>
  <c r="J4" i="3"/>
  <c r="J5" i="3"/>
  <c r="J6" i="3"/>
  <c r="J3" i="3"/>
</calcChain>
</file>

<file path=xl/sharedStrings.xml><?xml version="1.0" encoding="utf-8"?>
<sst xmlns="http://schemas.openxmlformats.org/spreadsheetml/2006/main" count="153" uniqueCount="69">
  <si>
    <t>Year</t>
  </si>
  <si>
    <t>Revenue</t>
  </si>
  <si>
    <t>Net Profit</t>
  </si>
  <si>
    <t>EBITDA</t>
  </si>
  <si>
    <t xml:space="preserve"> </t>
  </si>
  <si>
    <t>Assets</t>
  </si>
  <si>
    <t>Equity</t>
  </si>
  <si>
    <t>Debt</t>
  </si>
  <si>
    <t>Curr Assets</t>
  </si>
  <si>
    <t>Curr Liab</t>
  </si>
  <si>
    <t xml:space="preserve"> 2021	</t>
  </si>
  <si>
    <t xml:space="preserve"> 2022	</t>
  </si>
  <si>
    <t xml:space="preserve"> 2023	</t>
  </si>
  <si>
    <t xml:space="preserve"> 2024	</t>
  </si>
  <si>
    <t xml:space="preserve"> 2025	</t>
  </si>
  <si>
    <t>167311</t>
  </si>
  <si>
    <t>195772</t>
  </si>
  <si>
    <t>228907</t>
  </si>
  <si>
    <t>245315</t>
  </si>
  <si>
    <t>259286</t>
  </si>
  <si>
    <t>32562</t>
  </si>
  <si>
    <t>38449</t>
  </si>
  <si>
    <t>42303</t>
  </si>
  <si>
    <t>46099</t>
  </si>
  <si>
    <t>48797</t>
  </si>
  <si>
    <t>44397</t>
  </si>
  <si>
    <t>52471</t>
  </si>
  <si>
    <t>57686</t>
  </si>
  <si>
    <t>62775</t>
  </si>
  <si>
    <t>66127</t>
  </si>
  <si>
    <t>130759</t>
  </si>
  <si>
    <t>141514</t>
  </si>
  <si>
    <t>143651</t>
  </si>
  <si>
    <t>146449</t>
  </si>
  <si>
    <t>159629</t>
  </si>
  <si>
    <t>86433</t>
  </si>
  <si>
    <t>89139</t>
  </si>
  <si>
    <t>90424</t>
  </si>
  <si>
    <t>90489</t>
  </si>
  <si>
    <t>94756</t>
  </si>
  <si>
    <t>99280</t>
  </si>
  <si>
    <t>108310</t>
  </si>
  <si>
    <t>110270</t>
  </si>
  <si>
    <t>112984</t>
  </si>
  <si>
    <t>123012</t>
  </si>
  <si>
    <t>34155</t>
  </si>
  <si>
    <t>42351</t>
  </si>
  <si>
    <t>43558</t>
  </si>
  <si>
    <t>46104</t>
  </si>
  <si>
    <t>53001</t>
  </si>
  <si>
    <t xml:space="preserve">Company is low-leverged and financially very stable </t>
  </si>
  <si>
    <t>Rev Growth</t>
  </si>
  <si>
    <t>Profit Margin</t>
  </si>
  <si>
    <t>ROE</t>
  </si>
  <si>
    <t>Curr Ratio</t>
  </si>
  <si>
    <t>Debt/Equity</t>
  </si>
  <si>
    <t>Revenue Growth =(Current Year − Previous Year) / Previous Year</t>
  </si>
  <si>
    <t>Profit Margin=Net Profit / Revenue</t>
  </si>
  <si>
    <t>ROE==Net Profit / Equity</t>
  </si>
  <si>
    <t>Current Ratio==Current Assets / Current Liabilities</t>
  </si>
  <si>
    <t>Debt-to-Equity==Debt / Equity</t>
  </si>
  <si>
    <t>Key Insights:</t>
  </si>
  <si>
    <t xml:space="preserve">• Revenue shows consistent growth  </t>
  </si>
  <si>
    <t xml:space="preserve">• Profit margin remains stable  </t>
  </si>
  <si>
    <t>• Company is financially strong (low debt)</t>
  </si>
  <si>
    <t xml:space="preserve">• Revenue shows consistent growth over the years  </t>
  </si>
  <si>
    <t xml:space="preserve">• Profit margins remain stable around 18–19%  </t>
  </si>
  <si>
    <t xml:space="preserve">• High ROE indicates efficient utilization of equity  </t>
  </si>
  <si>
    <t xml:space="preserve">• Company has zero debt, indicating strong financial stability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</si>
</sst>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1D1D1"/>
      </top>
      <bottom style="medium">
        <color rgb="FFEBEBE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" fontId="0" fillId="0" borderId="0" xfId="0" applyNumberFormat="1"/>
    <xf numFmtId="49" fontId="4" fillId="0" borderId="0" xfId="0" applyNumberFormat="1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5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2" fontId="0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592754</xdr:colOff>
      <xdr:row>45</xdr:row>
      <xdr:rowOff>48780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A3866-C84F-B25E-0630-1BA78366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94654" cy="8278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524041</xdr:colOff>
      <xdr:row>44</xdr:row>
      <xdr:rowOff>107818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1702D-6B6C-65FF-E68C-151B5CF0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42021" cy="8154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8FFF-E7DC-4B0F-A86D-EA0788EF5230}">
  <dimension ref="A1:N13"/>
  <sheetViews>
    <sheetView workbookViewId="0">
      <selection activeCell="E19" sqref="E19"/>
    </sheetView>
  </sheetViews>
  <sheetFormatPr defaultRowHeight="14.4" x14ac:dyDescent="0.3"/>
  <cols>
    <col min="1" max="1" width="13.6640625" customWidth="1"/>
    <col min="2" max="2" width="18.21875" customWidth="1"/>
    <col min="3" max="3" width="8.88671875" customWidth="1"/>
    <col min="5" max="5" width="9.109375" customWidth="1"/>
    <col min="6" max="7" width="8.88671875" customWidth="1"/>
    <col min="8" max="8" width="12.5546875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3" t="s">
        <v>6</v>
      </c>
      <c r="G1" s="1" t="s">
        <v>7</v>
      </c>
      <c r="H1" s="1" t="s">
        <v>8</v>
      </c>
      <c r="I1" s="1" t="s">
        <v>9</v>
      </c>
    </row>
    <row r="2" spans="1:14" ht="15" thickBot="1" x14ac:dyDescent="0.35">
      <c r="A2" s="6" t="s">
        <v>10</v>
      </c>
      <c r="B2" s="9" t="s">
        <v>15</v>
      </c>
      <c r="C2" s="10" t="s">
        <v>20</v>
      </c>
      <c r="D2" s="10" t="s">
        <v>25</v>
      </c>
      <c r="E2" s="10" t="s">
        <v>30</v>
      </c>
      <c r="F2" s="11" t="s">
        <v>35</v>
      </c>
      <c r="G2" s="6">
        <v>0</v>
      </c>
      <c r="H2" s="10" t="s">
        <v>40</v>
      </c>
      <c r="I2" s="10" t="s">
        <v>45</v>
      </c>
      <c r="J2" s="6"/>
      <c r="N2" s="2"/>
    </row>
    <row r="3" spans="1:14" ht="15" thickBot="1" x14ac:dyDescent="0.35">
      <c r="A3" s="6" t="s">
        <v>11</v>
      </c>
      <c r="B3" s="9" t="s">
        <v>16</v>
      </c>
      <c r="C3" s="9" t="s">
        <v>21</v>
      </c>
      <c r="D3" s="9" t="s">
        <v>26</v>
      </c>
      <c r="E3" s="10" t="s">
        <v>31</v>
      </c>
      <c r="F3" s="11" t="s">
        <v>36</v>
      </c>
      <c r="G3" s="7">
        <v>0</v>
      </c>
      <c r="H3" s="10" t="s">
        <v>41</v>
      </c>
      <c r="I3" s="10" t="s">
        <v>46</v>
      </c>
      <c r="J3" s="6"/>
    </row>
    <row r="4" spans="1:14" ht="15" thickBot="1" x14ac:dyDescent="0.35">
      <c r="A4" s="6" t="s">
        <v>12</v>
      </c>
      <c r="B4" s="10" t="s">
        <v>17</v>
      </c>
      <c r="C4" s="10" t="s">
        <v>22</v>
      </c>
      <c r="D4" s="10" t="s">
        <v>27</v>
      </c>
      <c r="E4" s="10" t="s">
        <v>32</v>
      </c>
      <c r="F4" s="11" t="s">
        <v>37</v>
      </c>
      <c r="G4" s="5">
        <v>0</v>
      </c>
      <c r="H4" s="10" t="s">
        <v>42</v>
      </c>
      <c r="I4" s="10" t="s">
        <v>47</v>
      </c>
      <c r="J4" s="6"/>
    </row>
    <row r="5" spans="1:14" ht="15" thickBot="1" x14ac:dyDescent="0.35">
      <c r="A5" s="6" t="s">
        <v>13</v>
      </c>
      <c r="B5" s="9" t="s">
        <v>18</v>
      </c>
      <c r="C5" s="10" t="s">
        <v>23</v>
      </c>
      <c r="D5" s="9" t="s">
        <v>28</v>
      </c>
      <c r="E5" s="10" t="s">
        <v>33</v>
      </c>
      <c r="F5" s="11" t="s">
        <v>38</v>
      </c>
      <c r="G5" s="6">
        <v>0</v>
      </c>
      <c r="H5" s="10" t="s">
        <v>43</v>
      </c>
      <c r="I5" s="10" t="s">
        <v>48</v>
      </c>
      <c r="J5" s="6"/>
    </row>
    <row r="6" spans="1:14" ht="15" thickBot="1" x14ac:dyDescent="0.35">
      <c r="A6" s="6" t="s">
        <v>14</v>
      </c>
      <c r="B6" s="9" t="s">
        <v>19</v>
      </c>
      <c r="C6" s="10" t="s">
        <v>24</v>
      </c>
      <c r="D6" s="9" t="s">
        <v>29</v>
      </c>
      <c r="E6" s="10" t="s">
        <v>34</v>
      </c>
      <c r="F6" s="11" t="s">
        <v>39</v>
      </c>
      <c r="G6" s="6">
        <v>0</v>
      </c>
      <c r="H6" s="10" t="s">
        <v>44</v>
      </c>
      <c r="I6" s="10" t="s">
        <v>49</v>
      </c>
      <c r="J6" s="6"/>
    </row>
    <row r="7" spans="1:14" x14ac:dyDescent="0.3">
      <c r="A7" s="6"/>
      <c r="B7" s="6"/>
      <c r="C7" s="6"/>
      <c r="D7" s="6"/>
      <c r="E7" s="6" t="s">
        <v>4</v>
      </c>
      <c r="F7" s="6"/>
      <c r="G7" s="6"/>
      <c r="H7" s="6" t="s">
        <v>50</v>
      </c>
      <c r="I7" s="6"/>
      <c r="J7" s="6"/>
    </row>
    <row r="13" spans="1:14" x14ac:dyDescent="0.3">
      <c r="I1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0B31-E571-42EE-B84C-CC01D1F1F5AD}">
  <dimension ref="A1:I6"/>
  <sheetViews>
    <sheetView workbookViewId="0">
      <selection activeCell="K12" sqref="K12"/>
    </sheetView>
  </sheetViews>
  <sheetFormatPr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5" thickBot="1" x14ac:dyDescent="0.35">
      <c r="A2" s="6" t="s">
        <v>10</v>
      </c>
      <c r="B2" s="9" t="s">
        <v>15</v>
      </c>
      <c r="C2" s="10" t="s">
        <v>20</v>
      </c>
      <c r="D2" s="10" t="s">
        <v>25</v>
      </c>
      <c r="E2" s="10" t="s">
        <v>30</v>
      </c>
      <c r="F2" s="11" t="s">
        <v>35</v>
      </c>
      <c r="G2" s="6">
        <v>0</v>
      </c>
      <c r="H2" s="10" t="s">
        <v>40</v>
      </c>
      <c r="I2" s="10" t="s">
        <v>45</v>
      </c>
    </row>
    <row r="3" spans="1:9" ht="15" thickBot="1" x14ac:dyDescent="0.35">
      <c r="A3" s="6" t="s">
        <v>11</v>
      </c>
      <c r="B3" s="9" t="s">
        <v>16</v>
      </c>
      <c r="C3" s="9" t="s">
        <v>21</v>
      </c>
      <c r="D3" s="9" t="s">
        <v>26</v>
      </c>
      <c r="E3" s="10" t="s">
        <v>31</v>
      </c>
      <c r="F3" s="11" t="s">
        <v>36</v>
      </c>
      <c r="G3" s="7">
        <v>0</v>
      </c>
      <c r="H3" s="10" t="s">
        <v>41</v>
      </c>
      <c r="I3" s="10" t="s">
        <v>46</v>
      </c>
    </row>
    <row r="4" spans="1:9" ht="15" thickBot="1" x14ac:dyDescent="0.35">
      <c r="A4" s="6" t="s">
        <v>12</v>
      </c>
      <c r="B4" s="10" t="s">
        <v>17</v>
      </c>
      <c r="C4" s="10" t="s">
        <v>22</v>
      </c>
      <c r="D4" s="10" t="s">
        <v>27</v>
      </c>
      <c r="E4" s="10" t="s">
        <v>32</v>
      </c>
      <c r="F4" s="11" t="s">
        <v>37</v>
      </c>
      <c r="G4" s="5">
        <v>0</v>
      </c>
      <c r="H4" s="10" t="s">
        <v>42</v>
      </c>
      <c r="I4" s="10" t="s">
        <v>47</v>
      </c>
    </row>
    <row r="5" spans="1:9" ht="15" thickBot="1" x14ac:dyDescent="0.35">
      <c r="A5" s="6" t="s">
        <v>13</v>
      </c>
      <c r="B5" s="9" t="s">
        <v>18</v>
      </c>
      <c r="C5" s="10" t="s">
        <v>23</v>
      </c>
      <c r="D5" s="9" t="s">
        <v>28</v>
      </c>
      <c r="E5" s="10" t="s">
        <v>33</v>
      </c>
      <c r="F5" s="11" t="s">
        <v>38</v>
      </c>
      <c r="G5" s="6">
        <v>0</v>
      </c>
      <c r="H5" s="10" t="s">
        <v>43</v>
      </c>
      <c r="I5" s="10" t="s">
        <v>48</v>
      </c>
    </row>
    <row r="6" spans="1:9" ht="15" thickBot="1" x14ac:dyDescent="0.35">
      <c r="A6" s="6" t="s">
        <v>14</v>
      </c>
      <c r="B6" s="9" t="s">
        <v>19</v>
      </c>
      <c r="C6" s="10" t="s">
        <v>24</v>
      </c>
      <c r="D6" s="9" t="s">
        <v>29</v>
      </c>
      <c r="E6" s="10" t="s">
        <v>34</v>
      </c>
      <c r="F6" s="11" t="s">
        <v>39</v>
      </c>
      <c r="G6" s="6">
        <v>0</v>
      </c>
      <c r="H6" s="10" t="s">
        <v>44</v>
      </c>
      <c r="I6" s="10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81B3-E1E1-4DC7-BDE8-3EB4E5560018}">
  <dimension ref="A1:N13"/>
  <sheetViews>
    <sheetView tabSelected="1" workbookViewId="0">
      <selection activeCell="D16" sqref="D16"/>
    </sheetView>
  </sheetViews>
  <sheetFormatPr defaultRowHeight="14.4" x14ac:dyDescent="0.3"/>
  <cols>
    <col min="1" max="1" width="13.6640625" customWidth="1"/>
    <col min="2" max="2" width="18.21875" customWidth="1"/>
    <col min="5" max="5" width="9.109375" customWidth="1"/>
    <col min="8" max="8" width="12.5546875" customWidth="1"/>
    <col min="10" max="10" width="15.6640625" customWidth="1"/>
    <col min="11" max="11" width="16" customWidth="1"/>
    <col min="12" max="12" width="13.44140625" customWidth="1"/>
    <col min="13" max="13" width="15.6640625" customWidth="1"/>
    <col min="14" max="14" width="12.77734375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</row>
    <row r="2" spans="1:14" ht="15" thickBot="1" x14ac:dyDescent="0.35">
      <c r="A2" s="6">
        <v>2021</v>
      </c>
      <c r="B2" s="9">
        <v>167311</v>
      </c>
      <c r="C2" s="10">
        <v>32562</v>
      </c>
      <c r="D2" s="10" t="s">
        <v>25</v>
      </c>
      <c r="E2" s="10" t="s">
        <v>30</v>
      </c>
      <c r="F2" s="11" t="s">
        <v>35</v>
      </c>
      <c r="G2" s="6">
        <v>0</v>
      </c>
      <c r="H2" s="10" t="s">
        <v>40</v>
      </c>
      <c r="I2" s="10" t="s">
        <v>45</v>
      </c>
      <c r="J2" s="14"/>
      <c r="K2" s="15">
        <f>C2 / B2</f>
        <v>0.19461960062398767</v>
      </c>
      <c r="L2" s="15">
        <f>C2 / F2</f>
        <v>0.37673110964562145</v>
      </c>
      <c r="M2" s="17">
        <f>H2 / I2</f>
        <v>2.9067486458790808</v>
      </c>
      <c r="N2" s="12">
        <v>0</v>
      </c>
    </row>
    <row r="3" spans="1:14" ht="15" thickBot="1" x14ac:dyDescent="0.35">
      <c r="A3" s="6">
        <v>2022</v>
      </c>
      <c r="B3" s="9">
        <v>195772</v>
      </c>
      <c r="C3" s="9">
        <v>38449</v>
      </c>
      <c r="D3" s="9" t="s">
        <v>26</v>
      </c>
      <c r="E3" s="10" t="s">
        <v>31</v>
      </c>
      <c r="F3" s="11" t="s">
        <v>36</v>
      </c>
      <c r="G3" s="7">
        <v>0</v>
      </c>
      <c r="H3" s="10" t="s">
        <v>41</v>
      </c>
      <c r="I3" s="10" t="s">
        <v>46</v>
      </c>
      <c r="J3" s="14">
        <f>(B3 - B2) / B2</f>
        <v>0.17010836107607988</v>
      </c>
      <c r="K3" s="15">
        <f>C3 / B3</f>
        <v>0.19639682896430541</v>
      </c>
      <c r="L3" s="15">
        <f t="shared" ref="L3:L6" si="0">C3 / F3</f>
        <v>0.43133757390143485</v>
      </c>
      <c r="M3" s="17">
        <f t="shared" ref="M3:M6" si="1">H3 / I3</f>
        <v>2.5574366602913745</v>
      </c>
      <c r="N3" s="4">
        <v>0</v>
      </c>
    </row>
    <row r="4" spans="1:14" ht="15" thickBot="1" x14ac:dyDescent="0.35">
      <c r="A4" s="6">
        <v>2023</v>
      </c>
      <c r="B4" s="10">
        <v>228907</v>
      </c>
      <c r="C4" s="10">
        <v>42303</v>
      </c>
      <c r="D4" s="10" t="s">
        <v>27</v>
      </c>
      <c r="E4" s="10" t="s">
        <v>32</v>
      </c>
      <c r="F4" s="11" t="s">
        <v>37</v>
      </c>
      <c r="G4" s="5">
        <v>0</v>
      </c>
      <c r="H4" s="10" t="s">
        <v>42</v>
      </c>
      <c r="I4" s="10" t="s">
        <v>47</v>
      </c>
      <c r="J4" s="14">
        <f>(B4 - B3) / B3</f>
        <v>0.16925300860184295</v>
      </c>
      <c r="K4" s="15">
        <f>C4 / B4</f>
        <v>0.18480430917359453</v>
      </c>
      <c r="L4" s="15">
        <f t="shared" si="0"/>
        <v>0.46782933734406795</v>
      </c>
      <c r="M4" s="17">
        <f t="shared" si="1"/>
        <v>2.5315671059277287</v>
      </c>
      <c r="N4" s="4">
        <v>0</v>
      </c>
    </row>
    <row r="5" spans="1:14" ht="15" thickBot="1" x14ac:dyDescent="0.35">
      <c r="A5" s="6">
        <v>2024</v>
      </c>
      <c r="B5" s="9">
        <v>245315</v>
      </c>
      <c r="C5" s="10">
        <v>46099</v>
      </c>
      <c r="D5" s="9" t="s">
        <v>28</v>
      </c>
      <c r="E5" s="10" t="s">
        <v>33</v>
      </c>
      <c r="F5" s="11" t="s">
        <v>38</v>
      </c>
      <c r="G5" s="6">
        <v>0</v>
      </c>
      <c r="H5" s="10" t="s">
        <v>43</v>
      </c>
      <c r="I5" s="10" t="s">
        <v>48</v>
      </c>
      <c r="J5" s="14">
        <f>(B5 - B4) / B4</f>
        <v>7.1679765144796792E-2</v>
      </c>
      <c r="K5" s="15">
        <f>C5 / B5</f>
        <v>0.18791757536228931</v>
      </c>
      <c r="L5" s="15">
        <f t="shared" si="0"/>
        <v>0.50944313673485175</v>
      </c>
      <c r="M5" s="17">
        <f t="shared" si="1"/>
        <v>2.4506333506854068</v>
      </c>
      <c r="N5" s="4">
        <v>0</v>
      </c>
    </row>
    <row r="6" spans="1:14" ht="15" thickBot="1" x14ac:dyDescent="0.35">
      <c r="A6" s="6">
        <v>2025</v>
      </c>
      <c r="B6" s="9">
        <v>259286</v>
      </c>
      <c r="C6" s="10">
        <v>48797</v>
      </c>
      <c r="D6" s="9" t="s">
        <v>29</v>
      </c>
      <c r="E6" s="10" t="s">
        <v>34</v>
      </c>
      <c r="F6" s="11" t="s">
        <v>39</v>
      </c>
      <c r="G6" s="6">
        <v>0</v>
      </c>
      <c r="H6" s="10" t="s">
        <v>44</v>
      </c>
      <c r="I6" s="10" t="s">
        <v>49</v>
      </c>
      <c r="J6" s="14">
        <f>(B6 - B5) / B5</f>
        <v>5.6951266738682921E-2</v>
      </c>
      <c r="K6" s="15">
        <f>C6 / B6</f>
        <v>0.18819758876298759</v>
      </c>
      <c r="L6" s="15">
        <f t="shared" si="0"/>
        <v>0.514975304993879</v>
      </c>
      <c r="M6" s="17">
        <f t="shared" si="1"/>
        <v>2.3209373408048903</v>
      </c>
      <c r="N6" s="4">
        <v>0</v>
      </c>
    </row>
    <row r="7" spans="1:14" x14ac:dyDescent="0.3">
      <c r="A7" s="20">
        <v>2026</v>
      </c>
      <c r="B7" s="20">
        <f>_xlfn.FORECAST.LINEAR(2026, B2:B6, A2:A6)</f>
        <v>289366.10000000149</v>
      </c>
      <c r="C7" s="20">
        <f>_xlfn.FORECAST.LINEAR(2026, C2:C6, A2:A6)</f>
        <v>53678</v>
      </c>
      <c r="J7" s="16"/>
      <c r="K7" s="16"/>
      <c r="L7" s="16"/>
      <c r="M7" s="16"/>
    </row>
    <row r="8" spans="1:14" x14ac:dyDescent="0.3">
      <c r="D8" s="13"/>
      <c r="F8" s="18" t="s">
        <v>56</v>
      </c>
      <c r="G8" s="18"/>
      <c r="H8" s="18"/>
      <c r="I8" s="18"/>
      <c r="J8" s="18"/>
      <c r="K8" s="18"/>
      <c r="L8" s="18"/>
      <c r="M8" s="18"/>
    </row>
    <row r="9" spans="1:14" x14ac:dyDescent="0.3">
      <c r="F9" s="19" t="s">
        <v>57</v>
      </c>
      <c r="G9" s="19"/>
      <c r="H9" s="19"/>
      <c r="I9" s="19"/>
      <c r="J9" s="19"/>
      <c r="K9" s="19"/>
    </row>
    <row r="10" spans="1:14" x14ac:dyDescent="0.3">
      <c r="F10" s="19" t="s">
        <v>58</v>
      </c>
      <c r="G10" s="19"/>
      <c r="H10" s="19"/>
      <c r="I10" s="19"/>
      <c r="J10" s="19"/>
      <c r="K10" s="19"/>
      <c r="L10" s="19"/>
    </row>
    <row r="11" spans="1:14" x14ac:dyDescent="0.3">
      <c r="F11" s="18" t="s">
        <v>59</v>
      </c>
      <c r="G11" s="18"/>
      <c r="H11" s="18"/>
      <c r="I11" s="18"/>
      <c r="J11" s="18"/>
      <c r="K11" s="18"/>
    </row>
    <row r="12" spans="1:14" x14ac:dyDescent="0.3">
      <c r="F12" s="18" t="s">
        <v>60</v>
      </c>
      <c r="G12" s="18"/>
      <c r="H12" s="18"/>
      <c r="I12" s="18"/>
      <c r="J12" s="18"/>
      <c r="K12" s="18"/>
      <c r="L12" s="18"/>
      <c r="M12" s="18"/>
    </row>
    <row r="13" spans="1:14" x14ac:dyDescent="0.3">
      <c r="F13" s="21"/>
      <c r="G13" s="21"/>
      <c r="H13" s="21"/>
      <c r="I13" s="21"/>
      <c r="J13" s="21"/>
      <c r="K13" s="21"/>
      <c r="L13" s="21"/>
    </row>
  </sheetData>
  <mergeCells count="6">
    <mergeCell ref="F13:L13"/>
    <mergeCell ref="F8:M8"/>
    <mergeCell ref="F9:K9"/>
    <mergeCell ref="F10:L10"/>
    <mergeCell ref="F11:K11"/>
    <mergeCell ref="F12:M12"/>
  </mergeCells>
  <conditionalFormatting sqref="J1:M6">
    <cfRule type="colorScale" priority="1">
      <colorScale>
        <cfvo type="num" val="0"/>
        <cfvo type="num" val="0.1"/>
        <cfvo type="num" val="0.2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739D-3714-4A93-8226-06C3B4877A63}">
  <dimension ref="B47:B50"/>
  <sheetViews>
    <sheetView workbookViewId="0">
      <selection activeCell="C49" sqref="C49"/>
    </sheetView>
  </sheetViews>
  <sheetFormatPr defaultRowHeight="14.4" x14ac:dyDescent="0.3"/>
  <cols>
    <col min="2" max="2" width="35" customWidth="1"/>
    <col min="5" max="5" width="8.88671875" customWidth="1"/>
  </cols>
  <sheetData>
    <row r="47" spans="2:2" x14ac:dyDescent="0.3">
      <c r="B47" t="s">
        <v>61</v>
      </c>
    </row>
    <row r="48" spans="2:2" x14ac:dyDescent="0.3">
      <c r="B48" t="s">
        <v>62</v>
      </c>
    </row>
    <row r="49" spans="2:2" x14ac:dyDescent="0.3">
      <c r="B49" t="s">
        <v>63</v>
      </c>
    </row>
    <row r="50" spans="2:2" x14ac:dyDescent="0.3">
      <c r="B50" t="s">
        <v>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2CD4-9484-433B-8756-1B34983C1403}">
  <dimension ref="A46:A51"/>
  <sheetViews>
    <sheetView workbookViewId="0">
      <selection activeCell="B47" sqref="A1:XFD1048576"/>
    </sheetView>
  </sheetViews>
  <sheetFormatPr defaultRowHeight="14.4" x14ac:dyDescent="0.3"/>
  <cols>
    <col min="1" max="1" width="48.77734375" customWidth="1"/>
  </cols>
  <sheetData>
    <row r="46" spans="1:1" x14ac:dyDescent="0.3">
      <c r="A46" t="s">
        <v>61</v>
      </c>
    </row>
    <row r="48" spans="1:1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Calculations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Yashit Mittal</dc:creator>
  <cp:lastModifiedBy>Yashit Mittal</cp:lastModifiedBy>
  <dcterms:created xsi:type="dcterms:W3CDTF">2026-03-27T06:18:33Z</dcterms:created>
  <dcterms:modified xsi:type="dcterms:W3CDTF">2026-03-29T12:55:46Z</dcterms:modified>
</cp:coreProperties>
</file>